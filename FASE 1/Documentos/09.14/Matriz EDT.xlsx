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xgr7fp34jTCaQ27iLZNYHoLHBH7/OUzP+UePTMb6P7g="/>
    </ext>
  </extLst>
</workbook>
</file>

<file path=xl/sharedStrings.xml><?xml version="1.0" encoding="utf-8"?>
<sst xmlns="http://schemas.openxmlformats.org/spreadsheetml/2006/main" count="262" uniqueCount="119">
  <si>
    <t>SIGLA</t>
  </si>
  <si>
    <t>Matriz Estructura de descomposición de tareas EDT — Khepri</t>
  </si>
  <si>
    <t>Etapas</t>
  </si>
  <si>
    <t>DIAS</t>
  </si>
  <si>
    <t>HORAS POR ACTIVIDAD O ENTREGABLE</t>
  </si>
  <si>
    <t>DICCIONARIO EDT</t>
  </si>
  <si>
    <t>ROL</t>
  </si>
  <si>
    <t>Fase de Planificación (Fase 1 — 20%)</t>
  </si>
  <si>
    <t>NOMBRE</t>
  </si>
  <si>
    <t>VALOR HORA HH</t>
  </si>
  <si>
    <t>Jefe de Proyecto</t>
  </si>
  <si>
    <t>HORAS</t>
  </si>
  <si>
    <t>FASE PLANIFICACION</t>
  </si>
  <si>
    <t>Arquitecto de software</t>
  </si>
  <si>
    <t>COSTO POR HORA</t>
  </si>
  <si>
    <t>Desarrollador frontend</t>
  </si>
  <si>
    <t>Calidad y testing</t>
  </si>
  <si>
    <t>Diseñador</t>
  </si>
  <si>
    <t>JP</t>
  </si>
  <si>
    <t>Deyse Henriquez</t>
  </si>
  <si>
    <t>COSTO x HORA</t>
  </si>
  <si>
    <t>Organización del equipo</t>
  </si>
  <si>
    <t>Acta de Constitución de proyecto</t>
  </si>
  <si>
    <t>AS</t>
  </si>
  <si>
    <t>Néstor Carvacho</t>
  </si>
  <si>
    <t>Aprobación del Acta</t>
  </si>
  <si>
    <t>DF</t>
  </si>
  <si>
    <t>Gary Villegas</t>
  </si>
  <si>
    <t>Planilla de requerimientos (R.1–R.45)</t>
  </si>
  <si>
    <t>Sueldo mes</t>
  </si>
  <si>
    <t>QA</t>
  </si>
  <si>
    <t>Matriz EDT y cálculo de esfuerzo</t>
  </si>
  <si>
    <t>DG</t>
  </si>
  <si>
    <t>Carta Gantt</t>
  </si>
  <si>
    <t>Documento Casos de uso extendido</t>
  </si>
  <si>
    <t>Documento Mockups (capturas de la app)</t>
  </si>
  <si>
    <t>Informe ERS (IEEE 830)</t>
  </si>
  <si>
    <t>Documento de avance de sprints</t>
  </si>
  <si>
    <t>Presentación Fase 1 (hito 10/09/2026)</t>
  </si>
  <si>
    <t>TOTAL FASE PLANIFICACION</t>
  </si>
  <si>
    <t>Fase de diseño — modelo arquitectónico (Fase 2 — 20%)</t>
  </si>
  <si>
    <t>Documento de arquitectura de software (DAS)</t>
  </si>
  <si>
    <t>Diccionario de datos (MySQL 8)</t>
  </si>
  <si>
    <t>Matriz RACI</t>
  </si>
  <si>
    <t>Matriz de riesgo</t>
  </si>
  <si>
    <t>Matriz de control de cambios</t>
  </si>
  <si>
    <t>Hito modelo arquitectónico (01/10/2026)</t>
  </si>
  <si>
    <t>Fase de Desarrollo (Fase 2 — 30%, 100% al 12/11/2026)</t>
  </si>
  <si>
    <t xml:space="preserve">VALOR HORA HH </t>
  </si>
  <si>
    <t>FASE DISEÑO</t>
  </si>
  <si>
    <t>COSTO HH POR ROL</t>
  </si>
  <si>
    <t>Seguimiento de sprints y coordinación</t>
  </si>
  <si>
    <t>Ambiente de desarrollo (Git, .env, pytest, Vite)</t>
  </si>
  <si>
    <t>Docker Compose y despliegue Railway</t>
  </si>
  <si>
    <t>Scripts de esquema MySQL 8</t>
  </si>
  <si>
    <t>Módulo IAM y seguridad</t>
  </si>
  <si>
    <t>R.1 Autenticar usuario (JWT)</t>
  </si>
  <si>
    <t>R.2 Cerrar sesión</t>
  </si>
  <si>
    <t>R.3 Cambiar contraseña</t>
  </si>
  <si>
    <t>R.4 Bloqueo por intentos fallidos</t>
  </si>
  <si>
    <t>R.7 Mantenedor de usuarios</t>
  </si>
  <si>
    <t>R.8 Mantenedor de roles y permisos</t>
  </si>
  <si>
    <t>TOTAL FASE DISEÑO</t>
  </si>
  <si>
    <t>R.9 Mantenedor de cargos</t>
  </si>
  <si>
    <t>TOTAL HH</t>
  </si>
  <si>
    <t>R.10 Permisos de cargo</t>
  </si>
  <si>
    <t>R.27 Editar perfil de usuario</t>
  </si>
  <si>
    <t>R.29 Menú y rutas según permisos</t>
  </si>
  <si>
    <t>Módulo Tenant (multi-empresa)</t>
  </si>
  <si>
    <t>R.5 Mantenedor de empresas</t>
  </si>
  <si>
    <t>R.6 Filtro multi-empresa</t>
  </si>
  <si>
    <t>FASE DESARROLLO</t>
  </si>
  <si>
    <t>R.31 Aislamiento de datos por empresa_id</t>
  </si>
  <si>
    <t>COSTO POR FASE</t>
  </si>
  <si>
    <t>Módulo Catálogo y ubicaciones</t>
  </si>
  <si>
    <t>R.11 Mantenedor de productos</t>
  </si>
  <si>
    <t>R.12 Mantenedor de tipos de producto</t>
  </si>
  <si>
    <t>Fase de Planificación</t>
  </si>
  <si>
    <t>R.13 Mantenedor de unidades de medida</t>
  </si>
  <si>
    <t>R.14 Mantenedor de bodegas</t>
  </si>
  <si>
    <t>R.15 Mantenedor de zonas</t>
  </si>
  <si>
    <t>Fase de Análisis y Diseño</t>
  </si>
  <si>
    <t>R.16 Mantenedor de tipos de zona</t>
  </si>
  <si>
    <t>Fase de Desarrollo</t>
  </si>
  <si>
    <t>Módulo Inventario operativo</t>
  </si>
  <si>
    <t>R.17 Zona de recepción por bodega</t>
  </si>
  <si>
    <t>Fase de Pruebas y QA</t>
  </si>
  <si>
    <t>R.18 Consultar stock por ubicación</t>
  </si>
  <si>
    <t>R.19 Registrar recepción</t>
  </si>
  <si>
    <t>R.20 Registrar traslado interno</t>
  </si>
  <si>
    <t>Fase de Implementación y Cierre</t>
  </si>
  <si>
    <t>R.21 Registrar despacho</t>
  </si>
  <si>
    <t>TOTAL FASE DESARROLLO</t>
  </si>
  <si>
    <t>R.22 Historial de movimientos</t>
  </si>
  <si>
    <t>TOTAL HH FASES (mano de obra)</t>
  </si>
  <si>
    <t>R.32 Escaneo de SKU en operaciones</t>
  </si>
  <si>
    <t>FASE PRUEBAS QA</t>
  </si>
  <si>
    <t>Módulo Reportes, API y locale</t>
  </si>
  <si>
    <t>R.23 Exportar stock PDF/Excel</t>
  </si>
  <si>
    <t>R.24 Exportar movimientos PDF/Excel</t>
  </si>
  <si>
    <t>R.25 Filtrar listados y reportes</t>
  </si>
  <si>
    <t>R.26 Preferencias de locale</t>
  </si>
  <si>
    <t>R.28 Validaciones en formularios</t>
  </si>
  <si>
    <t>R.30 API REST documentada (Swagger)</t>
  </si>
  <si>
    <t>NFR R.33–R.45 (hexagonal, HTTPS, Git, pytest, Railway)</t>
  </si>
  <si>
    <t>Hito 100% de la(s) aplicación(es) (12/11/2026)</t>
  </si>
  <si>
    <t>TOTAL FASE PRUEBAS QA</t>
  </si>
  <si>
    <t>FASE IMPLEMENTACION Y CIERRE</t>
  </si>
  <si>
    <t>Ambiente de pruebas</t>
  </si>
  <si>
    <t>Pruebas funcionales por requerimiento</t>
  </si>
  <si>
    <t>Pruebas con usuarios (operador / jefe de almacén)</t>
  </si>
  <si>
    <t>Plan de pruebas y registro de defectos</t>
  </si>
  <si>
    <t>Fase de implementación y cierre (Fase 3 — 30%)</t>
  </si>
  <si>
    <t>Despliegue en Railway (producción académica)</t>
  </si>
  <si>
    <t>TOTAL FASE IMPLEMENTACION</t>
  </si>
  <si>
    <t>Manual de usuario</t>
  </si>
  <si>
    <t>Capacitaciones / demostración</t>
  </si>
  <si>
    <t>Acta de cierre y entrega final (03/12 – 10/12/2026)</t>
  </si>
  <si>
    <t>TOTAL DÍAS / HORAS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</si>
</sst>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0_ ;\-0\ "/>
    <numFmt numFmtId="166" formatCode="_(&quot;$&quot;* #,##0_);_(&quot;$&quot;* (#,##0);_(&quot;$&quot;* &quot;-&quot;??_);_(@_)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/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</font>
    <font>
      <b/>
      <sz val="10.0"/>
      <color theme="1"/>
      <name val="Arial"/>
    </font>
    <font>
      <b/>
      <sz val="11.0"/>
      <color rgb="FFFFFFFF"/>
      <name val="Arial"/>
    </font>
    <font>
      <b/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1F4E79"/>
        <bgColor rgb="FF1F4E79"/>
      </patternFill>
    </fill>
    <fill>
      <patternFill patternType="solid">
        <fgColor rgb="FFD9E2F3"/>
        <bgColor rgb="FFD9E2F3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00B0F0"/>
        <bgColor rgb="FF00B0F0"/>
      </patternFill>
    </fill>
    <fill>
      <patternFill patternType="solid">
        <fgColor rgb="FF5B9BD5"/>
        <bgColor rgb="FF5B9BD5"/>
      </patternFill>
    </fill>
    <fill>
      <patternFill patternType="solid">
        <fgColor rgb="FFF2F2F2"/>
        <bgColor rgb="FFF2F2F2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4" fillId="4" fontId="4" numFmtId="0" xfId="0" applyBorder="1" applyFill="1" applyFont="1"/>
    <xf borderId="4" fillId="4" fontId="4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5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wrapText="1"/>
    </xf>
    <xf borderId="4" fillId="5" fontId="6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shrinkToFit="0" vertical="center" wrapText="1"/>
    </xf>
    <xf borderId="8" fillId="2" fontId="1" numFmtId="0" xfId="0" applyAlignment="1" applyBorder="1" applyFill="1" applyFont="1">
      <alignment horizontal="center"/>
    </xf>
    <xf borderId="9" fillId="0" fontId="3" numFmtId="0" xfId="0" applyBorder="1" applyFont="1"/>
    <xf borderId="0" fillId="0" fontId="6" numFmtId="0" xfId="0" applyFont="1"/>
    <xf borderId="1" fillId="0" fontId="1" numFmtId="0" xfId="0" applyBorder="1" applyFont="1"/>
    <xf borderId="4" fillId="2" fontId="7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center" vertical="center"/>
    </xf>
    <xf borderId="1" fillId="0" fontId="1" numFmtId="164" xfId="0" applyBorder="1" applyFont="1" applyNumberFormat="1"/>
    <xf borderId="4" fillId="0" fontId="6" numFmtId="164" xfId="0" applyAlignment="1" applyBorder="1" applyFont="1" applyNumberFormat="1">
      <alignment horizontal="center" vertical="center"/>
    </xf>
    <xf borderId="1" fillId="0" fontId="1" numFmtId="165" xfId="0" applyBorder="1" applyFont="1" applyNumberFormat="1"/>
    <xf borderId="1" fillId="0" fontId="1" numFmtId="166" xfId="0" applyBorder="1" applyFont="1" applyNumberFormat="1"/>
    <xf borderId="1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horizontal="center"/>
    </xf>
    <xf borderId="4" fillId="6" fontId="5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4" fillId="7" fontId="5" numFmtId="0" xfId="0" applyAlignment="1" applyBorder="1" applyFill="1" applyFont="1">
      <alignment horizontal="left" shrinkToFit="0" vertical="center" wrapText="1"/>
    </xf>
    <xf borderId="4" fillId="7" fontId="6" numFmtId="0" xfId="0" applyAlignment="1" applyBorder="1" applyFill="1" applyFont="1">
      <alignment horizontal="center" vertical="center"/>
    </xf>
    <xf borderId="4" fillId="7" fontId="4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ill="1" applyFont="1">
      <alignment horizontal="left" shrinkToFit="0" vertical="center" wrapText="1"/>
    </xf>
    <xf borderId="4" fillId="8" fontId="6" numFmtId="0" xfId="0" applyAlignment="1" applyBorder="1" applyFill="1" applyFont="1">
      <alignment horizontal="center" vertical="center"/>
    </xf>
    <xf borderId="1" fillId="9" fontId="9" numFmtId="0" xfId="0" applyBorder="1" applyFill="1" applyFont="1"/>
    <xf borderId="1" fillId="9" fontId="9" numFmtId="166" xfId="0" applyBorder="1" applyFill="1" applyFont="1" applyNumberFormat="1"/>
    <xf borderId="4" fillId="0" fontId="1" numFmtId="0" xfId="0" applyAlignment="1" applyBorder="1" applyFont="1">
      <alignment horizontal="center" vertical="center"/>
    </xf>
    <xf borderId="4" fillId="10" fontId="5" numFmtId="0" xfId="0" applyAlignment="1" applyBorder="1" applyFill="1" applyFont="1">
      <alignment horizontal="left" shrinkToFit="0" vertical="center" wrapText="1"/>
    </xf>
    <xf borderId="4" fillId="10" fontId="6" numFmtId="0" xfId="0" applyAlignment="1" applyBorder="1" applyFill="1" applyFont="1">
      <alignment horizontal="center" vertical="center"/>
    </xf>
    <xf borderId="4" fillId="10" fontId="4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left" shrinkToFit="0" vertical="center" wrapText="1"/>
    </xf>
    <xf borderId="4" fillId="11" fontId="6" numFmtId="0" xfId="0" applyAlignment="1" applyBorder="1" applyFill="1" applyFont="1">
      <alignment horizontal="center" vertical="center"/>
    </xf>
    <xf borderId="4" fillId="11" fontId="4" numFmtId="0" xfId="0" applyAlignment="1" applyBorder="1" applyFill="1" applyFont="1">
      <alignment horizontal="center" shrinkToFit="0" vertical="center" wrapText="1"/>
    </xf>
    <xf borderId="4" fillId="12" fontId="4" numFmtId="0" xfId="0" applyBorder="1" applyFill="1" applyFont="1"/>
    <xf borderId="4" fillId="12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62.0"/>
    <col customWidth="1" min="2" max="2" width="8.0"/>
    <col customWidth="1" min="3" max="3" width="14.0"/>
    <col customWidth="1" min="4" max="5" width="16.0"/>
    <col customWidth="1" min="6" max="6" width="14.0"/>
    <col customWidth="1" min="7" max="7" width="12.0"/>
    <col customWidth="1" min="8" max="8" width="5.0"/>
    <col customWidth="1" min="9" max="9" width="26.0"/>
    <col customWidth="1" min="10" max="10" width="10.0"/>
    <col customWidth="1" min="11" max="11" width="22.0"/>
    <col customWidth="1" min="12" max="12" width="14.0"/>
    <col customWidth="1" min="13" max="26" width="10.71"/>
  </cols>
  <sheetData>
    <row r="1" ht="14.25" customHeight="1"/>
    <row r="2" ht="18.0" customHeight="1">
      <c r="A2" s="2" t="s">
        <v>1</v>
      </c>
      <c r="B2" s="3"/>
      <c r="C2" s="3"/>
      <c r="D2" s="3"/>
    </row>
    <row r="3" ht="14.25" customHeight="1"/>
    <row r="4" ht="14.25" customHeight="1">
      <c r="A4" s="4" t="s">
        <v>2</v>
      </c>
      <c r="B4" s="5" t="s">
        <v>3</v>
      </c>
      <c r="C4" s="6" t="s">
        <v>4</v>
      </c>
      <c r="D4" s="7"/>
      <c r="E4" s="7"/>
      <c r="F4" s="7"/>
      <c r="G4" s="8"/>
      <c r="I4" s="9" t="s">
        <v>5</v>
      </c>
      <c r="J4" s="7"/>
      <c r="K4" s="7"/>
      <c r="L4" s="8"/>
    </row>
    <row r="5" ht="27.75" customHeight="1">
      <c r="A5" s="10" t="s">
        <v>7</v>
      </c>
      <c r="B5" s="12"/>
      <c r="C5" s="13" t="s">
        <v>10</v>
      </c>
      <c r="D5" s="13" t="s">
        <v>13</v>
      </c>
      <c r="E5" s="13" t="s">
        <v>15</v>
      </c>
      <c r="F5" s="13" t="s">
        <v>16</v>
      </c>
      <c r="G5" s="13" t="s">
        <v>17</v>
      </c>
      <c r="H5" s="16"/>
      <c r="I5" s="18" t="s">
        <v>6</v>
      </c>
      <c r="J5" s="18" t="s">
        <v>0</v>
      </c>
      <c r="K5" s="18" t="s">
        <v>8</v>
      </c>
      <c r="L5" s="18" t="s">
        <v>20</v>
      </c>
    </row>
    <row r="6" ht="14.25" customHeight="1" outlineLevel="1">
      <c r="A6" s="19" t="s">
        <v>21</v>
      </c>
      <c r="B6" s="20">
        <v>2.0</v>
      </c>
      <c r="C6" s="20">
        <v>4.0</v>
      </c>
      <c r="D6" s="20"/>
      <c r="E6" s="20"/>
      <c r="F6" s="20"/>
      <c r="G6" s="20"/>
      <c r="H6" s="16"/>
      <c r="I6" s="19" t="s">
        <v>10</v>
      </c>
      <c r="J6" s="20" t="s">
        <v>18</v>
      </c>
      <c r="K6" s="19" t="s">
        <v>19</v>
      </c>
      <c r="L6" s="22">
        <f>'Costos Fases'!J4</f>
        <v>15000</v>
      </c>
    </row>
    <row r="7" ht="14.25" customHeight="1" outlineLevel="1">
      <c r="A7" s="19" t="s">
        <v>22</v>
      </c>
      <c r="B7" s="20">
        <v>3.0</v>
      </c>
      <c r="C7" s="20">
        <v>12.0</v>
      </c>
      <c r="D7" s="20"/>
      <c r="E7" s="20"/>
      <c r="F7" s="20"/>
      <c r="G7" s="20"/>
      <c r="H7" s="16"/>
      <c r="I7" s="19" t="s">
        <v>13</v>
      </c>
      <c r="J7" s="20" t="s">
        <v>23</v>
      </c>
      <c r="K7" s="19" t="s">
        <v>24</v>
      </c>
      <c r="L7" s="22">
        <f>'Costos Fases'!J5</f>
        <v>14000</v>
      </c>
    </row>
    <row r="8" ht="14.25" customHeight="1" outlineLevel="1">
      <c r="A8" s="19" t="s">
        <v>25</v>
      </c>
      <c r="B8" s="20">
        <v>1.0</v>
      </c>
      <c r="C8" s="20">
        <v>2.0</v>
      </c>
      <c r="D8" s="20"/>
      <c r="E8" s="20"/>
      <c r="F8" s="20"/>
      <c r="G8" s="20"/>
      <c r="H8" s="16"/>
      <c r="I8" s="19" t="s">
        <v>15</v>
      </c>
      <c r="J8" s="20" t="s">
        <v>26</v>
      </c>
      <c r="K8" s="19" t="s">
        <v>27</v>
      </c>
      <c r="L8" s="22">
        <f>'Costos Fases'!J6</f>
        <v>13000</v>
      </c>
    </row>
    <row r="9" ht="14.25" customHeight="1" outlineLevel="1">
      <c r="A9" s="19" t="s">
        <v>28</v>
      </c>
      <c r="B9" s="20">
        <v>2.0</v>
      </c>
      <c r="C9" s="20">
        <v>8.0</v>
      </c>
      <c r="D9" s="20">
        <v>4.0</v>
      </c>
      <c r="E9" s="20"/>
      <c r="F9" s="20"/>
      <c r="G9" s="20"/>
      <c r="H9" s="16"/>
      <c r="I9" s="19" t="s">
        <v>16</v>
      </c>
      <c r="J9" s="20" t="s">
        <v>30</v>
      </c>
      <c r="K9" s="19" t="s">
        <v>24</v>
      </c>
      <c r="L9" s="22">
        <f>'Costos Fases'!J7</f>
        <v>14000</v>
      </c>
    </row>
    <row r="10" ht="14.25" customHeight="1" outlineLevel="1">
      <c r="A10" s="19" t="s">
        <v>31</v>
      </c>
      <c r="B10" s="20">
        <v>2.0</v>
      </c>
      <c r="C10" s="20">
        <v>10.0</v>
      </c>
      <c r="D10" s="20"/>
      <c r="E10" s="20"/>
      <c r="F10" s="20"/>
      <c r="G10" s="20"/>
      <c r="H10" s="16"/>
      <c r="I10" s="19" t="s">
        <v>17</v>
      </c>
      <c r="J10" s="20" t="s">
        <v>32</v>
      </c>
      <c r="K10" s="19" t="s">
        <v>27</v>
      </c>
      <c r="L10" s="22">
        <f>'Costos Fases'!J8</f>
        <v>13000</v>
      </c>
    </row>
    <row r="11" ht="28.5" customHeight="1">
      <c r="A11" s="19" t="s">
        <v>33</v>
      </c>
      <c r="B11" s="20">
        <v>2.0</v>
      </c>
      <c r="C11" s="20">
        <v>6.0</v>
      </c>
      <c r="D11" s="20"/>
      <c r="E11" s="20"/>
      <c r="F11" s="20"/>
      <c r="G11" s="20"/>
      <c r="H11" s="16"/>
      <c r="I11" s="16"/>
      <c r="J11" s="16"/>
      <c r="K11" s="16"/>
      <c r="L11" s="16"/>
    </row>
    <row r="12" ht="14.25" customHeight="1" outlineLevel="1">
      <c r="A12" s="19" t="s">
        <v>34</v>
      </c>
      <c r="B12" s="20">
        <v>7.0</v>
      </c>
      <c r="C12" s="20">
        <v>16.0</v>
      </c>
      <c r="D12" s="20">
        <v>12.0</v>
      </c>
      <c r="E12" s="20"/>
      <c r="F12" s="20"/>
      <c r="G12" s="20"/>
      <c r="H12" s="16"/>
      <c r="I12" s="16"/>
      <c r="J12" s="16"/>
      <c r="K12" s="16"/>
      <c r="L12" s="16"/>
    </row>
    <row r="13" ht="14.25" customHeight="1" outlineLevel="1">
      <c r="A13" s="19" t="s">
        <v>35</v>
      </c>
      <c r="B13" s="20">
        <v>5.0</v>
      </c>
      <c r="C13" s="20"/>
      <c r="D13" s="20"/>
      <c r="E13" s="20"/>
      <c r="F13" s="20"/>
      <c r="G13" s="20">
        <v>32.0</v>
      </c>
      <c r="H13" s="16"/>
      <c r="I13" s="16"/>
      <c r="J13" s="16"/>
      <c r="K13" s="16"/>
      <c r="L13" s="16"/>
    </row>
    <row r="14" ht="14.25" customHeight="1" outlineLevel="1">
      <c r="A14" s="19" t="s">
        <v>36</v>
      </c>
      <c r="B14" s="20">
        <v>4.0</v>
      </c>
      <c r="C14" s="20">
        <v>8.0</v>
      </c>
      <c r="D14" s="20">
        <v>16.0</v>
      </c>
      <c r="E14" s="20"/>
      <c r="F14" s="20"/>
      <c r="G14" s="20"/>
      <c r="H14" s="16"/>
      <c r="I14" s="16"/>
      <c r="J14" s="16"/>
      <c r="K14" s="16"/>
      <c r="L14" s="16"/>
    </row>
    <row r="15" ht="14.25" customHeight="1" outlineLevel="1">
      <c r="A15" s="19" t="s">
        <v>37</v>
      </c>
      <c r="B15" s="20">
        <v>3.0</v>
      </c>
      <c r="C15" s="20">
        <v>6.0</v>
      </c>
      <c r="D15" s="20"/>
      <c r="E15" s="20"/>
      <c r="F15" s="20"/>
      <c r="G15" s="20"/>
      <c r="H15" s="16"/>
      <c r="I15" s="16"/>
      <c r="J15" s="16"/>
      <c r="K15" s="16"/>
      <c r="L15" s="16"/>
    </row>
    <row r="16" ht="14.25" customHeight="1" outlineLevel="1">
      <c r="A16" s="19" t="s">
        <v>38</v>
      </c>
      <c r="B16" s="20">
        <v>2.0</v>
      </c>
      <c r="C16" s="20">
        <v>8.0</v>
      </c>
      <c r="D16" s="20">
        <v>4.0</v>
      </c>
      <c r="E16" s="20">
        <v>4.0</v>
      </c>
      <c r="F16" s="20"/>
      <c r="G16" s="20"/>
      <c r="H16" s="16"/>
      <c r="I16" s="16"/>
      <c r="J16" s="16"/>
      <c r="K16" s="16"/>
      <c r="L16" s="16"/>
    </row>
    <row r="17" ht="14.25" customHeight="1" outlineLevel="1">
      <c r="A17" s="27" t="s">
        <v>40</v>
      </c>
      <c r="B17" s="28"/>
      <c r="C17" s="29" t="s">
        <v>10</v>
      </c>
      <c r="D17" s="29" t="s">
        <v>13</v>
      </c>
      <c r="E17" s="29" t="s">
        <v>15</v>
      </c>
      <c r="F17" s="29" t="s">
        <v>16</v>
      </c>
      <c r="G17" s="29" t="s">
        <v>17</v>
      </c>
      <c r="H17" s="16"/>
      <c r="I17" s="16"/>
      <c r="J17" s="16"/>
      <c r="K17" s="16"/>
      <c r="L17" s="16"/>
    </row>
    <row r="18" ht="28.5" customHeight="1">
      <c r="A18" s="19" t="s">
        <v>41</v>
      </c>
      <c r="B18" s="20">
        <v>10.0</v>
      </c>
      <c r="C18" s="20">
        <v>12.0</v>
      </c>
      <c r="D18" s="20">
        <v>24.0</v>
      </c>
      <c r="E18" s="20"/>
      <c r="F18" s="20"/>
      <c r="G18" s="20"/>
      <c r="H18" s="16"/>
      <c r="I18" s="16"/>
      <c r="J18" s="16"/>
      <c r="K18" s="16"/>
      <c r="L18" s="16"/>
    </row>
    <row r="19" ht="18.0" customHeight="1" outlineLevel="1">
      <c r="A19" s="19" t="s">
        <v>42</v>
      </c>
      <c r="B19" s="20">
        <v>3.0</v>
      </c>
      <c r="C19" s="20"/>
      <c r="D19" s="20">
        <v>12.0</v>
      </c>
      <c r="E19" s="20"/>
      <c r="F19" s="20"/>
      <c r="G19" s="20"/>
      <c r="H19" s="16"/>
      <c r="I19" s="16"/>
      <c r="J19" s="16"/>
      <c r="K19" s="16"/>
      <c r="L19" s="16"/>
    </row>
    <row r="20" ht="18.0" customHeight="1" outlineLevel="1">
      <c r="A20" s="19" t="s">
        <v>43</v>
      </c>
      <c r="B20" s="20">
        <v>2.0</v>
      </c>
      <c r="C20" s="20">
        <v>8.0</v>
      </c>
      <c r="D20" s="20"/>
      <c r="E20" s="20"/>
      <c r="F20" s="20"/>
      <c r="G20" s="20"/>
      <c r="H20" s="16"/>
      <c r="I20" s="16"/>
      <c r="J20" s="16"/>
      <c r="K20" s="16"/>
      <c r="L20" s="16"/>
    </row>
    <row r="21" ht="18.0" customHeight="1" outlineLevel="1">
      <c r="A21" s="19" t="s">
        <v>44</v>
      </c>
      <c r="B21" s="20">
        <v>3.0</v>
      </c>
      <c r="C21" s="20">
        <v>10.0</v>
      </c>
      <c r="D21" s="20"/>
      <c r="E21" s="20"/>
      <c r="F21" s="20"/>
      <c r="G21" s="20"/>
      <c r="H21" s="16"/>
      <c r="I21" s="16"/>
      <c r="J21" s="16"/>
      <c r="K21" s="16"/>
      <c r="L21" s="16"/>
    </row>
    <row r="22" ht="18.0" customHeight="1" outlineLevel="1">
      <c r="A22" s="19" t="s">
        <v>45</v>
      </c>
      <c r="B22" s="20">
        <v>2.0</v>
      </c>
      <c r="C22" s="20">
        <v>6.0</v>
      </c>
      <c r="D22" s="20"/>
      <c r="E22" s="20"/>
      <c r="F22" s="20"/>
      <c r="G22" s="20"/>
      <c r="H22" s="16"/>
      <c r="I22" s="16"/>
      <c r="J22" s="16"/>
      <c r="K22" s="16"/>
      <c r="L22" s="16"/>
    </row>
    <row r="23" ht="18.0" customHeight="1" outlineLevel="1">
      <c r="A23" s="19" t="s">
        <v>46</v>
      </c>
      <c r="B23" s="20">
        <v>1.0</v>
      </c>
      <c r="C23" s="20">
        <v>4.0</v>
      </c>
      <c r="D23" s="20">
        <v>4.0</v>
      </c>
      <c r="E23" s="20"/>
      <c r="F23" s="20"/>
      <c r="G23" s="20"/>
      <c r="H23" s="16"/>
      <c r="I23" s="16"/>
      <c r="J23" s="16"/>
      <c r="K23" s="16"/>
      <c r="L23" s="16"/>
    </row>
    <row r="24" ht="18.0" customHeight="1" outlineLevel="1">
      <c r="A24" s="32" t="s">
        <v>47</v>
      </c>
      <c r="B24" s="33"/>
      <c r="C24" s="34" t="s">
        <v>10</v>
      </c>
      <c r="D24" s="34" t="s">
        <v>13</v>
      </c>
      <c r="E24" s="34" t="s">
        <v>15</v>
      </c>
      <c r="F24" s="34" t="s">
        <v>16</v>
      </c>
      <c r="G24" s="34" t="s">
        <v>17</v>
      </c>
      <c r="H24" s="16"/>
      <c r="I24" s="16"/>
      <c r="J24" s="16"/>
      <c r="K24" s="16"/>
      <c r="L24" s="16"/>
    </row>
    <row r="25" ht="18.0" customHeight="1" outlineLevel="1">
      <c r="A25" s="19" t="s">
        <v>51</v>
      </c>
      <c r="B25" s="20">
        <v>8.0</v>
      </c>
      <c r="C25" s="20">
        <v>28.0</v>
      </c>
      <c r="D25" s="20"/>
      <c r="E25" s="20"/>
      <c r="F25" s="20"/>
      <c r="G25" s="20"/>
      <c r="H25" s="16"/>
      <c r="I25" s="16"/>
      <c r="J25" s="16"/>
      <c r="K25" s="16"/>
      <c r="L25" s="16"/>
    </row>
    <row r="26" ht="18.0" customHeight="1" outlineLevel="1">
      <c r="A26" s="19" t="s">
        <v>52</v>
      </c>
      <c r="B26" s="20">
        <v>3.0</v>
      </c>
      <c r="C26" s="20">
        <v>4.0</v>
      </c>
      <c r="D26" s="20">
        <v>12.0</v>
      </c>
      <c r="E26" s="20">
        <v>8.0</v>
      </c>
      <c r="F26" s="20"/>
      <c r="G26" s="20"/>
      <c r="H26" s="16"/>
      <c r="I26" s="16"/>
      <c r="J26" s="16"/>
      <c r="K26" s="16"/>
      <c r="L26" s="16"/>
    </row>
    <row r="27" ht="18.0" customHeight="1" outlineLevel="1">
      <c r="A27" s="19" t="s">
        <v>53</v>
      </c>
      <c r="B27" s="20">
        <v>3.0</v>
      </c>
      <c r="C27" s="20"/>
      <c r="D27" s="20">
        <v>4.0</v>
      </c>
      <c r="E27" s="20"/>
      <c r="F27" s="20"/>
      <c r="G27" s="20"/>
      <c r="H27" s="16"/>
      <c r="I27" s="16"/>
      <c r="J27" s="16"/>
      <c r="K27" s="16"/>
      <c r="L27" s="16"/>
    </row>
    <row r="28" ht="18.0" customHeight="1" outlineLevel="1">
      <c r="A28" s="19" t="s">
        <v>54</v>
      </c>
      <c r="B28" s="20">
        <v>2.0</v>
      </c>
      <c r="C28" s="20"/>
      <c r="D28" s="20">
        <v>4.0</v>
      </c>
      <c r="E28" s="20"/>
      <c r="F28" s="20"/>
      <c r="G28" s="20"/>
      <c r="H28" s="16"/>
      <c r="I28" s="16"/>
      <c r="J28" s="16"/>
      <c r="K28" s="16"/>
      <c r="L28" s="16"/>
    </row>
    <row r="29" ht="18.0" customHeight="1" outlineLevel="1">
      <c r="A29" s="35" t="s">
        <v>55</v>
      </c>
      <c r="B29" s="36"/>
      <c r="C29" s="36"/>
      <c r="D29" s="36"/>
      <c r="E29" s="36"/>
      <c r="F29" s="36"/>
      <c r="G29" s="36"/>
      <c r="H29" s="16"/>
      <c r="I29" s="16"/>
      <c r="J29" s="16"/>
      <c r="K29" s="16"/>
      <c r="L29" s="16"/>
    </row>
    <row r="30" ht="18.0" customHeight="1" outlineLevel="1">
      <c r="A30" s="19" t="s">
        <v>56</v>
      </c>
      <c r="B30" s="20">
        <v>4.0</v>
      </c>
      <c r="C30" s="20"/>
      <c r="D30" s="20">
        <v>6.0</v>
      </c>
      <c r="E30" s="20">
        <v>10.0</v>
      </c>
      <c r="F30" s="20"/>
      <c r="G30" s="20"/>
      <c r="H30" s="16"/>
      <c r="I30" s="16"/>
      <c r="J30" s="16"/>
      <c r="K30" s="16"/>
      <c r="L30" s="16"/>
    </row>
    <row r="31" ht="18.0" customHeight="1" outlineLevel="1">
      <c r="A31" s="19" t="s">
        <v>57</v>
      </c>
      <c r="B31" s="20">
        <v>2.0</v>
      </c>
      <c r="C31" s="20"/>
      <c r="D31" s="20">
        <v>3.0</v>
      </c>
      <c r="E31" s="20">
        <v>4.0</v>
      </c>
      <c r="F31" s="20"/>
      <c r="G31" s="20"/>
      <c r="H31" s="16"/>
      <c r="I31" s="16"/>
      <c r="J31" s="16"/>
      <c r="K31" s="16"/>
      <c r="L31" s="16"/>
    </row>
    <row r="32" ht="18.0" customHeight="1" outlineLevel="1">
      <c r="A32" s="19" t="s">
        <v>58</v>
      </c>
      <c r="B32" s="20">
        <v>2.0</v>
      </c>
      <c r="C32" s="20"/>
      <c r="D32" s="20">
        <v>4.0</v>
      </c>
      <c r="E32" s="20">
        <v>6.0</v>
      </c>
      <c r="F32" s="20"/>
      <c r="G32" s="20"/>
      <c r="H32" s="16"/>
      <c r="I32" s="16"/>
      <c r="J32" s="16"/>
      <c r="K32" s="16"/>
      <c r="L32" s="16"/>
    </row>
    <row r="33" ht="18.0" customHeight="1" outlineLevel="1">
      <c r="A33" s="19" t="s">
        <v>59</v>
      </c>
      <c r="B33" s="20">
        <v>2.0</v>
      </c>
      <c r="C33" s="20"/>
      <c r="D33" s="20">
        <v>4.0</v>
      </c>
      <c r="E33" s="20"/>
      <c r="F33" s="20"/>
      <c r="G33" s="20"/>
      <c r="H33" s="16"/>
      <c r="I33" s="16"/>
      <c r="J33" s="16"/>
      <c r="K33" s="16"/>
      <c r="L33" s="16"/>
    </row>
    <row r="34" ht="18.0" customHeight="1" outlineLevel="1">
      <c r="A34" s="19" t="s">
        <v>60</v>
      </c>
      <c r="B34" s="20">
        <v>4.0</v>
      </c>
      <c r="C34" s="20"/>
      <c r="D34" s="20">
        <v>6.0</v>
      </c>
      <c r="E34" s="20">
        <v>12.0</v>
      </c>
      <c r="F34" s="20"/>
      <c r="G34" s="20"/>
      <c r="H34" s="16"/>
      <c r="I34" s="16"/>
      <c r="J34" s="16"/>
      <c r="K34" s="16"/>
      <c r="L34" s="16"/>
    </row>
    <row r="35" ht="18.0" customHeight="1" outlineLevel="1">
      <c r="A35" s="19" t="s">
        <v>61</v>
      </c>
      <c r="B35" s="20">
        <v>4.0</v>
      </c>
      <c r="C35" s="20"/>
      <c r="D35" s="20">
        <v>6.0</v>
      </c>
      <c r="E35" s="20">
        <v>10.0</v>
      </c>
      <c r="F35" s="20"/>
      <c r="G35" s="20"/>
      <c r="H35" s="16"/>
      <c r="I35" s="16"/>
      <c r="J35" s="16"/>
      <c r="K35" s="16"/>
      <c r="L35" s="16"/>
    </row>
    <row r="36" ht="18.0" customHeight="1" outlineLevel="1">
      <c r="A36" s="19" t="s">
        <v>63</v>
      </c>
      <c r="B36" s="20">
        <v>3.0</v>
      </c>
      <c r="C36" s="20"/>
      <c r="D36" s="20">
        <v>5.0</v>
      </c>
      <c r="E36" s="20">
        <v>8.0</v>
      </c>
      <c r="F36" s="20"/>
      <c r="G36" s="20"/>
      <c r="H36" s="16"/>
      <c r="I36" s="16"/>
      <c r="J36" s="16"/>
      <c r="K36" s="16"/>
      <c r="L36" s="16"/>
    </row>
    <row r="37" ht="18.0" customHeight="1" outlineLevel="1">
      <c r="A37" s="19" t="s">
        <v>65</v>
      </c>
      <c r="B37" s="20">
        <v>2.0</v>
      </c>
      <c r="C37" s="20"/>
      <c r="D37" s="20">
        <v>4.0</v>
      </c>
      <c r="E37" s="20">
        <v>6.0</v>
      </c>
      <c r="F37" s="20"/>
      <c r="G37" s="20"/>
      <c r="H37" s="16"/>
      <c r="I37" s="16"/>
      <c r="J37" s="16"/>
      <c r="K37" s="16"/>
      <c r="L37" s="16"/>
    </row>
    <row r="38" ht="18.0" customHeight="1" outlineLevel="1">
      <c r="A38" s="19" t="s">
        <v>66</v>
      </c>
      <c r="B38" s="20">
        <v>2.0</v>
      </c>
      <c r="C38" s="20"/>
      <c r="D38" s="20">
        <v>2.0</v>
      </c>
      <c r="E38" s="20">
        <v>4.0</v>
      </c>
      <c r="F38" s="20"/>
      <c r="G38" s="20"/>
      <c r="H38" s="16"/>
      <c r="I38" s="16"/>
      <c r="J38" s="16"/>
      <c r="K38" s="16"/>
      <c r="L38" s="16"/>
    </row>
    <row r="39" ht="18.0" customHeight="1" outlineLevel="1">
      <c r="A39" s="19" t="s">
        <v>67</v>
      </c>
      <c r="B39" s="20">
        <v>2.0</v>
      </c>
      <c r="C39" s="20"/>
      <c r="D39" s="20">
        <v>2.0</v>
      </c>
      <c r="E39" s="20">
        <v>4.0</v>
      </c>
      <c r="F39" s="20"/>
      <c r="G39" s="20"/>
      <c r="H39" s="16"/>
      <c r="I39" s="16"/>
      <c r="J39" s="16"/>
      <c r="K39" s="16"/>
      <c r="L39" s="16"/>
    </row>
    <row r="40" ht="18.0" customHeight="1" outlineLevel="1">
      <c r="A40" s="35" t="s">
        <v>68</v>
      </c>
      <c r="B40" s="36"/>
      <c r="C40" s="36"/>
      <c r="D40" s="36"/>
      <c r="E40" s="36"/>
      <c r="F40" s="36"/>
      <c r="G40" s="36"/>
      <c r="H40" s="16"/>
      <c r="I40" s="16"/>
      <c r="J40" s="16"/>
      <c r="K40" s="16"/>
      <c r="L40" s="16"/>
    </row>
    <row r="41" ht="18.0" customHeight="1" outlineLevel="1">
      <c r="A41" s="19" t="s">
        <v>69</v>
      </c>
      <c r="B41" s="20">
        <v>4.0</v>
      </c>
      <c r="C41" s="20"/>
      <c r="D41" s="20">
        <v>10.0</v>
      </c>
      <c r="E41" s="20">
        <v>10.0</v>
      </c>
      <c r="F41" s="20"/>
      <c r="G41" s="20"/>
      <c r="H41" s="16"/>
      <c r="I41" s="16"/>
      <c r="J41" s="16"/>
      <c r="K41" s="16"/>
      <c r="L41" s="16"/>
    </row>
    <row r="42" ht="18.0" customHeight="1" outlineLevel="1">
      <c r="A42" s="19" t="s">
        <v>70</v>
      </c>
      <c r="B42" s="20">
        <v>3.0</v>
      </c>
      <c r="C42" s="20"/>
      <c r="D42" s="20">
        <v>6.0</v>
      </c>
      <c r="E42" s="20">
        <v>10.0</v>
      </c>
      <c r="F42" s="20"/>
      <c r="G42" s="20"/>
      <c r="H42" s="16"/>
      <c r="I42" s="16"/>
      <c r="J42" s="16"/>
      <c r="K42" s="16"/>
      <c r="L42" s="16"/>
    </row>
    <row r="43" ht="18.0" customHeight="1" outlineLevel="1">
      <c r="A43" s="19" t="s">
        <v>72</v>
      </c>
      <c r="B43" s="20">
        <v>3.0</v>
      </c>
      <c r="C43" s="20"/>
      <c r="D43" s="20">
        <v>8.0</v>
      </c>
      <c r="E43" s="20"/>
      <c r="F43" s="20"/>
      <c r="G43" s="20"/>
      <c r="H43" s="16"/>
      <c r="I43" s="16"/>
      <c r="J43" s="16"/>
      <c r="K43" s="16"/>
      <c r="L43" s="16"/>
    </row>
    <row r="44" ht="18.0" customHeight="1" outlineLevel="1">
      <c r="A44" s="35" t="s">
        <v>74</v>
      </c>
      <c r="B44" s="36"/>
      <c r="C44" s="36"/>
      <c r="D44" s="36"/>
      <c r="E44" s="36"/>
      <c r="F44" s="36"/>
      <c r="G44" s="36"/>
      <c r="H44" s="16"/>
      <c r="I44" s="16"/>
      <c r="J44" s="16"/>
      <c r="K44" s="16"/>
      <c r="L44" s="16"/>
    </row>
    <row r="45" ht="18.0" customHeight="1" outlineLevel="1">
      <c r="A45" s="19" t="s">
        <v>75</v>
      </c>
      <c r="B45" s="20">
        <v>4.0</v>
      </c>
      <c r="C45" s="20"/>
      <c r="D45" s="20">
        <v>4.0</v>
      </c>
      <c r="E45" s="20">
        <v>12.0</v>
      </c>
      <c r="F45" s="20"/>
      <c r="G45" s="20"/>
      <c r="H45" s="16"/>
      <c r="I45" s="16"/>
      <c r="J45" s="16"/>
      <c r="K45" s="16"/>
      <c r="L45" s="16"/>
    </row>
    <row r="46" ht="18.0" customHeight="1" outlineLevel="1">
      <c r="A46" s="19" t="s">
        <v>76</v>
      </c>
      <c r="B46" s="20">
        <v>2.0</v>
      </c>
      <c r="C46" s="20"/>
      <c r="D46" s="20">
        <v>4.0</v>
      </c>
      <c r="E46" s="20">
        <v>6.0</v>
      </c>
      <c r="F46" s="20"/>
      <c r="G46" s="20"/>
      <c r="H46" s="16"/>
      <c r="I46" s="16"/>
      <c r="J46" s="16"/>
      <c r="K46" s="16"/>
      <c r="L46" s="16"/>
    </row>
    <row r="47" ht="28.5" customHeight="1">
      <c r="A47" s="19" t="s">
        <v>78</v>
      </c>
      <c r="B47" s="20">
        <v>2.0</v>
      </c>
      <c r="C47" s="20"/>
      <c r="D47" s="20">
        <v>4.0</v>
      </c>
      <c r="E47" s="20">
        <v>6.0</v>
      </c>
      <c r="F47" s="20"/>
      <c r="G47" s="20"/>
      <c r="H47" s="16"/>
      <c r="I47" s="16"/>
      <c r="J47" s="16"/>
      <c r="K47" s="16"/>
      <c r="L47" s="16"/>
    </row>
    <row r="48" ht="14.25" customHeight="1">
      <c r="A48" s="19" t="s">
        <v>79</v>
      </c>
      <c r="B48" s="20">
        <v>3.0</v>
      </c>
      <c r="C48" s="20"/>
      <c r="D48" s="20">
        <v>6.0</v>
      </c>
      <c r="E48" s="20">
        <v>10.0</v>
      </c>
      <c r="F48" s="20"/>
      <c r="G48" s="20"/>
      <c r="H48" s="16"/>
      <c r="I48" s="16"/>
      <c r="J48" s="16"/>
      <c r="K48" s="16"/>
      <c r="L48" s="16"/>
    </row>
    <row r="49" ht="14.25" customHeight="1" outlineLevel="1">
      <c r="A49" s="19" t="s">
        <v>80</v>
      </c>
      <c r="B49" s="20">
        <v>3.0</v>
      </c>
      <c r="C49" s="20"/>
      <c r="D49" s="20">
        <v>6.0</v>
      </c>
      <c r="E49" s="20">
        <v>10.0</v>
      </c>
      <c r="F49" s="20"/>
      <c r="G49" s="20"/>
      <c r="H49" s="16"/>
      <c r="I49" s="16"/>
      <c r="J49" s="16"/>
      <c r="K49" s="16"/>
      <c r="L49" s="16"/>
    </row>
    <row r="50" ht="14.25" customHeight="1" outlineLevel="1">
      <c r="A50" s="19" t="s">
        <v>82</v>
      </c>
      <c r="B50" s="20">
        <v>2.0</v>
      </c>
      <c r="C50" s="20"/>
      <c r="D50" s="20">
        <v>4.0</v>
      </c>
      <c r="E50" s="20">
        <v>4.0</v>
      </c>
      <c r="F50" s="20"/>
      <c r="G50" s="20"/>
      <c r="H50" s="16"/>
      <c r="I50" s="16"/>
      <c r="J50" s="16"/>
      <c r="K50" s="16"/>
      <c r="L50" s="16"/>
    </row>
    <row r="51" ht="14.25" customHeight="1" outlineLevel="1">
      <c r="A51" s="35" t="s">
        <v>84</v>
      </c>
      <c r="B51" s="36"/>
      <c r="C51" s="36"/>
      <c r="D51" s="36"/>
      <c r="E51" s="36"/>
      <c r="F51" s="36"/>
      <c r="G51" s="36"/>
      <c r="H51" s="16"/>
      <c r="I51" s="16"/>
      <c r="J51" s="16"/>
      <c r="K51" s="16"/>
      <c r="L51" s="16"/>
    </row>
    <row r="52" ht="28.5" customHeight="1" outlineLevel="1">
      <c r="A52" s="19" t="s">
        <v>85</v>
      </c>
      <c r="B52" s="20">
        <v>2.0</v>
      </c>
      <c r="C52" s="20"/>
      <c r="D52" s="20">
        <v>4.0</v>
      </c>
      <c r="E52" s="20"/>
      <c r="F52" s="20"/>
      <c r="G52" s="20"/>
      <c r="H52" s="16"/>
      <c r="I52" s="16"/>
      <c r="J52" s="16"/>
      <c r="K52" s="16"/>
      <c r="L52" s="16"/>
    </row>
    <row r="53" ht="14.25" customHeight="1">
      <c r="A53" s="19" t="s">
        <v>87</v>
      </c>
      <c r="B53" s="20">
        <v>3.0</v>
      </c>
      <c r="C53" s="20"/>
      <c r="D53" s="20">
        <v>6.0</v>
      </c>
      <c r="E53" s="20">
        <v>10.0</v>
      </c>
      <c r="F53" s="20"/>
      <c r="G53" s="20"/>
      <c r="H53" s="16"/>
      <c r="I53" s="16"/>
      <c r="J53" s="16"/>
      <c r="K53" s="16"/>
      <c r="L53" s="16"/>
    </row>
    <row r="54" ht="14.25" customHeight="1" outlineLevel="1">
      <c r="A54" s="19" t="s">
        <v>88</v>
      </c>
      <c r="B54" s="20">
        <v>4.0</v>
      </c>
      <c r="C54" s="20"/>
      <c r="D54" s="20">
        <v>6.0</v>
      </c>
      <c r="E54" s="20">
        <v>12.0</v>
      </c>
      <c r="F54" s="20"/>
      <c r="G54" s="20"/>
      <c r="H54" s="16"/>
      <c r="I54" s="16"/>
      <c r="J54" s="16"/>
      <c r="K54" s="16"/>
      <c r="L54" s="16"/>
    </row>
    <row r="55" ht="14.25" customHeight="1" outlineLevel="1">
      <c r="A55" s="19" t="s">
        <v>89</v>
      </c>
      <c r="B55" s="20">
        <v>4.0</v>
      </c>
      <c r="C55" s="20"/>
      <c r="D55" s="20">
        <v>6.0</v>
      </c>
      <c r="E55" s="20">
        <v>12.0</v>
      </c>
      <c r="F55" s="20"/>
      <c r="G55" s="20"/>
      <c r="H55" s="16"/>
      <c r="I55" s="16"/>
      <c r="J55" s="16"/>
      <c r="K55" s="16"/>
      <c r="L55" s="16"/>
    </row>
    <row r="56" ht="14.25" customHeight="1" outlineLevel="1">
      <c r="A56" s="19" t="s">
        <v>91</v>
      </c>
      <c r="B56" s="20">
        <v>3.0</v>
      </c>
      <c r="C56" s="20"/>
      <c r="D56" s="20">
        <v>6.0</v>
      </c>
      <c r="E56" s="20">
        <v>12.0</v>
      </c>
      <c r="F56" s="20"/>
      <c r="G56" s="20"/>
      <c r="H56" s="16"/>
      <c r="I56" s="16"/>
      <c r="J56" s="16"/>
      <c r="K56" s="16"/>
      <c r="L56" s="16"/>
    </row>
    <row r="57" ht="14.25" customHeight="1" outlineLevel="1">
      <c r="A57" s="19" t="s">
        <v>93</v>
      </c>
      <c r="B57" s="20">
        <v>3.0</v>
      </c>
      <c r="C57" s="20"/>
      <c r="D57" s="20">
        <v>6.0</v>
      </c>
      <c r="E57" s="20">
        <v>10.0</v>
      </c>
      <c r="F57" s="20"/>
      <c r="G57" s="20"/>
      <c r="H57" s="16"/>
      <c r="I57" s="16"/>
      <c r="J57" s="16"/>
      <c r="K57" s="16"/>
      <c r="L57" s="16"/>
    </row>
    <row r="58" ht="14.25" customHeight="1">
      <c r="A58" s="19" t="s">
        <v>95</v>
      </c>
      <c r="B58" s="20">
        <v>2.0</v>
      </c>
      <c r="C58" s="20"/>
      <c r="D58" s="20">
        <v>4.0</v>
      </c>
      <c r="E58" s="20">
        <v>8.0</v>
      </c>
      <c r="F58" s="20"/>
      <c r="G58" s="20"/>
      <c r="H58" s="16"/>
      <c r="I58" s="16"/>
      <c r="J58" s="16"/>
      <c r="K58" s="16"/>
      <c r="L58" s="16"/>
    </row>
    <row r="59" ht="14.25" customHeight="1">
      <c r="A59" s="35" t="s">
        <v>97</v>
      </c>
      <c r="B59" s="36"/>
      <c r="C59" s="36"/>
      <c r="D59" s="36"/>
      <c r="E59" s="36"/>
      <c r="F59" s="36"/>
      <c r="G59" s="36"/>
    </row>
    <row r="60" ht="14.25" customHeight="1">
      <c r="A60" s="19" t="s">
        <v>98</v>
      </c>
      <c r="B60" s="39">
        <v>3.0</v>
      </c>
      <c r="C60" s="20"/>
      <c r="D60" s="20">
        <v>6.0</v>
      </c>
      <c r="E60" s="20">
        <v>10.0</v>
      </c>
      <c r="F60" s="20"/>
      <c r="G60" s="20"/>
    </row>
    <row r="61" ht="14.25" customHeight="1">
      <c r="A61" s="19" t="s">
        <v>99</v>
      </c>
      <c r="B61" s="39">
        <v>3.0</v>
      </c>
      <c r="C61" s="20"/>
      <c r="D61" s="20">
        <v>4.0</v>
      </c>
      <c r="E61" s="20">
        <v>8.0</v>
      </c>
      <c r="F61" s="20"/>
      <c r="G61" s="20"/>
    </row>
    <row r="62" ht="14.25" customHeight="1">
      <c r="A62" s="19" t="s">
        <v>100</v>
      </c>
      <c r="B62" s="39">
        <v>2.0</v>
      </c>
      <c r="C62" s="20"/>
      <c r="D62" s="20"/>
      <c r="E62" s="20">
        <v>6.0</v>
      </c>
      <c r="F62" s="20"/>
      <c r="G62" s="20"/>
    </row>
    <row r="63" ht="14.25" customHeight="1">
      <c r="A63" s="19" t="s">
        <v>101</v>
      </c>
      <c r="B63" s="39">
        <v>3.0</v>
      </c>
      <c r="C63" s="20"/>
      <c r="D63" s="20">
        <v>6.0</v>
      </c>
      <c r="E63" s="20">
        <v>8.0</v>
      </c>
      <c r="F63" s="20"/>
      <c r="G63" s="20"/>
    </row>
    <row r="64" ht="14.25" customHeight="1">
      <c r="A64" s="19" t="s">
        <v>102</v>
      </c>
      <c r="B64" s="39">
        <v>2.0</v>
      </c>
      <c r="C64" s="20"/>
      <c r="D64" s="20">
        <v>2.0</v>
      </c>
      <c r="E64" s="20">
        <v>8.0</v>
      </c>
      <c r="F64" s="20"/>
      <c r="G64" s="20"/>
    </row>
    <row r="65" ht="14.25" customHeight="1">
      <c r="A65" s="19" t="s">
        <v>103</v>
      </c>
      <c r="B65" s="39">
        <v>3.0</v>
      </c>
      <c r="C65" s="20"/>
      <c r="D65" s="20">
        <v>6.0</v>
      </c>
      <c r="E65" s="20">
        <v>4.0</v>
      </c>
      <c r="F65" s="20"/>
      <c r="G65" s="20"/>
    </row>
    <row r="66" ht="14.25" customHeight="1">
      <c r="A66" s="19" t="s">
        <v>104</v>
      </c>
      <c r="B66" s="39">
        <v>4.0</v>
      </c>
      <c r="C66" s="20"/>
      <c r="D66" s="20"/>
      <c r="E66" s="20">
        <v>4.0</v>
      </c>
      <c r="F66" s="20"/>
      <c r="G66" s="20"/>
    </row>
    <row r="67" ht="14.25" customHeight="1">
      <c r="A67" s="19" t="s">
        <v>105</v>
      </c>
      <c r="B67" s="39">
        <v>1.0</v>
      </c>
      <c r="C67" s="20">
        <v>4.0</v>
      </c>
      <c r="D67" s="20"/>
      <c r="E67" s="20"/>
      <c r="F67" s="20"/>
      <c r="G67" s="20"/>
    </row>
    <row r="68" ht="14.25" customHeight="1">
      <c r="A68" s="40" t="s">
        <v>86</v>
      </c>
      <c r="B68" s="41"/>
      <c r="C68" s="42" t="s">
        <v>10</v>
      </c>
      <c r="D68" s="42" t="s">
        <v>13</v>
      </c>
      <c r="E68" s="42" t="s">
        <v>15</v>
      </c>
      <c r="F68" s="42" t="s">
        <v>16</v>
      </c>
      <c r="G68" s="42" t="s">
        <v>17</v>
      </c>
    </row>
    <row r="69" ht="14.25" customHeight="1">
      <c r="A69" s="19" t="s">
        <v>108</v>
      </c>
      <c r="B69" s="39">
        <v>2.0</v>
      </c>
      <c r="C69" s="20"/>
      <c r="D69" s="20">
        <v>8.0</v>
      </c>
      <c r="E69" s="20"/>
      <c r="F69" s="20">
        <v>8.0</v>
      </c>
      <c r="G69" s="20"/>
    </row>
    <row r="70" ht="14.25" customHeight="1">
      <c r="A70" s="19" t="s">
        <v>109</v>
      </c>
      <c r="B70" s="39">
        <v>8.0</v>
      </c>
      <c r="C70" s="20"/>
      <c r="D70" s="20">
        <v>8.0</v>
      </c>
      <c r="E70" s="20">
        <v>12.0</v>
      </c>
      <c r="F70" s="20">
        <v>24.0</v>
      </c>
      <c r="G70" s="20"/>
    </row>
    <row r="71" ht="14.25" customHeight="1">
      <c r="A71" s="19" t="s">
        <v>110</v>
      </c>
      <c r="B71" s="39">
        <v>5.0</v>
      </c>
      <c r="C71" s="20">
        <v>8.0</v>
      </c>
      <c r="D71" s="20"/>
      <c r="E71" s="20">
        <v>4.0</v>
      </c>
      <c r="F71" s="20">
        <v>16.0</v>
      </c>
      <c r="G71" s="20"/>
    </row>
    <row r="72" ht="14.25" customHeight="1">
      <c r="A72" s="19" t="s">
        <v>111</v>
      </c>
      <c r="B72" s="39">
        <v>4.0</v>
      </c>
      <c r="C72" s="20">
        <v>8.0</v>
      </c>
      <c r="D72" s="20">
        <v>8.0</v>
      </c>
      <c r="E72" s="20"/>
      <c r="F72" s="20">
        <v>12.0</v>
      </c>
      <c r="G72" s="20"/>
    </row>
    <row r="73" ht="14.25" customHeight="1">
      <c r="A73" s="43" t="s">
        <v>112</v>
      </c>
      <c r="B73" s="44"/>
      <c r="C73" s="45" t="s">
        <v>10</v>
      </c>
      <c r="D73" s="45" t="s">
        <v>13</v>
      </c>
      <c r="E73" s="45" t="s">
        <v>15</v>
      </c>
      <c r="F73" s="45" t="s">
        <v>16</v>
      </c>
      <c r="G73" s="45" t="s">
        <v>17</v>
      </c>
    </row>
    <row r="74" ht="14.25" customHeight="1">
      <c r="A74" s="19" t="s">
        <v>113</v>
      </c>
      <c r="B74" s="39">
        <v>2.0</v>
      </c>
      <c r="C74" s="20"/>
      <c r="D74" s="20">
        <v>4.0</v>
      </c>
      <c r="E74" s="20"/>
      <c r="F74" s="20"/>
      <c r="G74" s="20"/>
    </row>
    <row r="75" ht="14.25" customHeight="1">
      <c r="A75" s="19" t="s">
        <v>115</v>
      </c>
      <c r="B75" s="39">
        <v>5.0</v>
      </c>
      <c r="C75" s="20">
        <v>12.0</v>
      </c>
      <c r="D75" s="20"/>
      <c r="E75" s="20"/>
      <c r="F75" s="20"/>
      <c r="G75" s="20">
        <v>20.0</v>
      </c>
    </row>
    <row r="76" ht="14.25" customHeight="1">
      <c r="A76" s="19" t="s">
        <v>116</v>
      </c>
      <c r="B76" s="39">
        <v>3.0</v>
      </c>
      <c r="C76" s="20">
        <v>8.0</v>
      </c>
      <c r="D76" s="20"/>
      <c r="E76" s="20">
        <v>4.0</v>
      </c>
      <c r="F76" s="20"/>
      <c r="G76" s="20">
        <v>8.0</v>
      </c>
    </row>
    <row r="77" ht="14.25" customHeight="1">
      <c r="A77" s="19" t="s">
        <v>117</v>
      </c>
      <c r="B77" s="39">
        <v>3.0</v>
      </c>
      <c r="C77" s="20">
        <v>8.0</v>
      </c>
      <c r="D77" s="20"/>
      <c r="E77" s="20">
        <v>4.0</v>
      </c>
      <c r="F77" s="20"/>
      <c r="G77" s="20"/>
    </row>
    <row r="78" ht="14.25" customHeight="1">
      <c r="A78" s="46" t="s">
        <v>118</v>
      </c>
      <c r="B78" s="47">
        <f t="shared" ref="B78:G78" si="1">SUM(B6:B77)</f>
        <v>197</v>
      </c>
      <c r="C78" s="47">
        <f t="shared" si="1"/>
        <v>200</v>
      </c>
      <c r="D78" s="47">
        <f t="shared" si="1"/>
        <v>280</v>
      </c>
      <c r="E78" s="47">
        <f t="shared" si="1"/>
        <v>280</v>
      </c>
      <c r="F78" s="47">
        <f t="shared" si="1"/>
        <v>60</v>
      </c>
      <c r="G78" s="47">
        <f t="shared" si="1"/>
        <v>60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D2"/>
    <mergeCell ref="C4:G4"/>
    <mergeCell ref="I4:L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6.43"/>
    <col customWidth="1" min="2" max="2" width="21.0"/>
    <col customWidth="1" min="3" max="3" width="40.43"/>
    <col customWidth="1" min="4" max="4" width="10.71"/>
    <col customWidth="1" min="5" max="5" width="7.43"/>
    <col customWidth="1" min="6" max="6" width="23.71"/>
    <col customWidth="1" min="7" max="7" width="4.86"/>
    <col customWidth="1" min="8" max="8" width="40.29"/>
    <col customWidth="1" min="9" max="9" width="31.14"/>
    <col customWidth="1" min="10" max="10" width="16.0"/>
    <col customWidth="1" min="11" max="11" width="15.29"/>
    <col customWidth="1" min="12" max="26" width="10.71"/>
  </cols>
  <sheetData>
    <row r="1" ht="14.25" customHeight="1"/>
    <row r="2" ht="28.5" customHeight="1">
      <c r="A2" s="1" t="s">
        <v>0</v>
      </c>
      <c r="B2" s="1" t="s">
        <v>6</v>
      </c>
      <c r="C2" s="1" t="s">
        <v>8</v>
      </c>
      <c r="D2" s="11" t="s">
        <v>9</v>
      </c>
      <c r="E2" s="1" t="s">
        <v>11</v>
      </c>
      <c r="F2" s="1" t="s">
        <v>12</v>
      </c>
      <c r="H2" s="14" t="s">
        <v>14</v>
      </c>
      <c r="I2" s="15"/>
      <c r="J2" s="15"/>
      <c r="K2" s="15"/>
    </row>
    <row r="3" ht="14.25" customHeight="1">
      <c r="A3" s="17" t="s">
        <v>18</v>
      </c>
      <c r="B3" s="17" t="s">
        <v>10</v>
      </c>
      <c r="C3" s="17" t="s">
        <v>19</v>
      </c>
      <c r="D3" s="21">
        <f t="shared" ref="D3:D7" si="1">J4</f>
        <v>15000</v>
      </c>
      <c r="E3" s="23">
        <f>SUM(EDT!C6:C16)</f>
        <v>80</v>
      </c>
      <c r="F3" s="24">
        <f t="shared" ref="F3:F7" si="2">D3*E3</f>
        <v>1200000</v>
      </c>
      <c r="H3" s="1" t="s">
        <v>6</v>
      </c>
      <c r="I3" s="1" t="s">
        <v>8</v>
      </c>
      <c r="J3" s="1" t="s">
        <v>20</v>
      </c>
      <c r="K3" s="1" t="s">
        <v>29</v>
      </c>
    </row>
    <row r="4" ht="14.25" customHeight="1">
      <c r="A4" s="17" t="s">
        <v>23</v>
      </c>
      <c r="B4" s="17" t="s">
        <v>13</v>
      </c>
      <c r="C4" s="25" t="s">
        <v>24</v>
      </c>
      <c r="D4" s="21">
        <f t="shared" si="1"/>
        <v>14000</v>
      </c>
      <c r="E4" s="23">
        <f>SUM(EDT!D6:D16)</f>
        <v>36</v>
      </c>
      <c r="F4" s="24">
        <f t="shared" si="2"/>
        <v>504000</v>
      </c>
      <c r="H4" s="17" t="s">
        <v>10</v>
      </c>
      <c r="I4" s="17" t="s">
        <v>19</v>
      </c>
      <c r="J4" s="21">
        <f t="shared" ref="J4:J8" si="3">K4/160</f>
        <v>15000</v>
      </c>
      <c r="K4" s="24">
        <v>2400000.0</v>
      </c>
    </row>
    <row r="5" ht="14.25" customHeight="1">
      <c r="A5" s="17" t="s">
        <v>26</v>
      </c>
      <c r="B5" s="17" t="s">
        <v>15</v>
      </c>
      <c r="C5" s="17" t="s">
        <v>27</v>
      </c>
      <c r="D5" s="21">
        <f t="shared" si="1"/>
        <v>13000</v>
      </c>
      <c r="E5" s="23">
        <f>SUM(EDT!E6:E16)</f>
        <v>4</v>
      </c>
      <c r="F5" s="24">
        <f t="shared" si="2"/>
        <v>52000</v>
      </c>
      <c r="H5" s="17" t="s">
        <v>13</v>
      </c>
      <c r="I5" s="25" t="s">
        <v>24</v>
      </c>
      <c r="J5" s="21">
        <f t="shared" si="3"/>
        <v>14000</v>
      </c>
      <c r="K5" s="24">
        <v>2240000.0</v>
      </c>
    </row>
    <row r="6" ht="14.25" customHeight="1">
      <c r="A6" s="17" t="s">
        <v>30</v>
      </c>
      <c r="B6" s="17" t="s">
        <v>16</v>
      </c>
      <c r="C6" s="17" t="s">
        <v>24</v>
      </c>
      <c r="D6" s="21">
        <f t="shared" si="1"/>
        <v>14000</v>
      </c>
      <c r="E6" s="23">
        <f>SUM(EDT!F6:F16)</f>
        <v>0</v>
      </c>
      <c r="F6" s="24">
        <f t="shared" si="2"/>
        <v>0</v>
      </c>
      <c r="H6" s="17" t="s">
        <v>15</v>
      </c>
      <c r="I6" s="17" t="s">
        <v>27</v>
      </c>
      <c r="J6" s="21">
        <f t="shared" si="3"/>
        <v>13000</v>
      </c>
      <c r="K6" s="24">
        <v>2080000.0</v>
      </c>
    </row>
    <row r="7" ht="14.25" customHeight="1">
      <c r="A7" s="17" t="s">
        <v>32</v>
      </c>
      <c r="B7" s="17" t="s">
        <v>17</v>
      </c>
      <c r="C7" s="17" t="s">
        <v>27</v>
      </c>
      <c r="D7" s="21">
        <f t="shared" si="1"/>
        <v>13000</v>
      </c>
      <c r="E7" s="23">
        <f>SUM(EDT!G6:G16)</f>
        <v>32</v>
      </c>
      <c r="F7" s="24">
        <f t="shared" si="2"/>
        <v>416000</v>
      </c>
      <c r="H7" s="17" t="s">
        <v>16</v>
      </c>
      <c r="I7" s="17" t="s">
        <v>24</v>
      </c>
      <c r="J7" s="21">
        <f t="shared" si="3"/>
        <v>14000</v>
      </c>
      <c r="K7" s="24">
        <v>2240000.0</v>
      </c>
    </row>
    <row r="8" ht="14.25" customHeight="1">
      <c r="A8" s="17"/>
      <c r="B8" s="26" t="s">
        <v>39</v>
      </c>
      <c r="C8" s="30"/>
      <c r="D8" s="30"/>
      <c r="E8" s="31"/>
      <c r="F8" s="24">
        <f>SUM(F3:F7)</f>
        <v>2172000</v>
      </c>
      <c r="H8" s="17" t="s">
        <v>17</v>
      </c>
      <c r="I8" s="17" t="s">
        <v>27</v>
      </c>
      <c r="J8" s="21">
        <f t="shared" si="3"/>
        <v>13000</v>
      </c>
      <c r="K8" s="24">
        <v>2080000.0</v>
      </c>
    </row>
    <row r="9" ht="14.25" customHeight="1"/>
    <row r="10" ht="14.25" customHeight="1"/>
    <row r="11" ht="28.5" customHeight="1">
      <c r="A11" s="1" t="s">
        <v>0</v>
      </c>
      <c r="B11" s="1" t="s">
        <v>6</v>
      </c>
      <c r="C11" s="1" t="s">
        <v>8</v>
      </c>
      <c r="D11" s="11" t="s">
        <v>48</v>
      </c>
      <c r="E11" s="1" t="s">
        <v>11</v>
      </c>
      <c r="F11" s="1" t="s">
        <v>49</v>
      </c>
      <c r="H11" s="14" t="s">
        <v>50</v>
      </c>
      <c r="I11" s="15"/>
    </row>
    <row r="12" ht="14.25" customHeight="1">
      <c r="A12" s="17" t="s">
        <v>18</v>
      </c>
      <c r="B12" s="17" t="s">
        <v>10</v>
      </c>
      <c r="C12" s="17" t="s">
        <v>19</v>
      </c>
      <c r="D12" s="21">
        <f t="shared" ref="D12:D16" si="4">J4</f>
        <v>15000</v>
      </c>
      <c r="E12" s="23">
        <f>SUM(EDT!C18:C23)</f>
        <v>40</v>
      </c>
      <c r="F12" s="24">
        <f t="shared" ref="F12:F16" si="5">D12*E12</f>
        <v>600000</v>
      </c>
      <c r="H12" s="17" t="s">
        <v>10</v>
      </c>
      <c r="I12" s="24">
        <f t="shared" ref="I12:I16" si="6">F3+F12+F21+F30+F39</f>
        <v>3000000</v>
      </c>
    </row>
    <row r="13" ht="14.25" customHeight="1">
      <c r="A13" s="17" t="s">
        <v>23</v>
      </c>
      <c r="B13" s="17" t="s">
        <v>13</v>
      </c>
      <c r="C13" s="25" t="s">
        <v>24</v>
      </c>
      <c r="D13" s="21">
        <f t="shared" si="4"/>
        <v>14000</v>
      </c>
      <c r="E13" s="23">
        <f>SUM(EDT!D18:D23)</f>
        <v>40</v>
      </c>
      <c r="F13" s="24">
        <f t="shared" si="5"/>
        <v>560000</v>
      </c>
      <c r="H13" s="17" t="s">
        <v>13</v>
      </c>
      <c r="I13" s="24">
        <f t="shared" si="6"/>
        <v>3920000</v>
      </c>
    </row>
    <row r="14" ht="14.25" customHeight="1">
      <c r="A14" s="17" t="s">
        <v>26</v>
      </c>
      <c r="B14" s="17" t="s">
        <v>15</v>
      </c>
      <c r="C14" s="17" t="s">
        <v>27</v>
      </c>
      <c r="D14" s="21">
        <f t="shared" si="4"/>
        <v>13000</v>
      </c>
      <c r="E14" s="23">
        <f>SUM(EDT!E18:E23)</f>
        <v>0</v>
      </c>
      <c r="F14" s="24">
        <f t="shared" si="5"/>
        <v>0</v>
      </c>
      <c r="H14" s="17" t="s">
        <v>15</v>
      </c>
      <c r="I14" s="24">
        <f t="shared" si="6"/>
        <v>3640000</v>
      </c>
    </row>
    <row r="15" ht="14.25" customHeight="1">
      <c r="A15" s="17" t="s">
        <v>30</v>
      </c>
      <c r="B15" s="17" t="s">
        <v>16</v>
      </c>
      <c r="C15" s="17" t="s">
        <v>24</v>
      </c>
      <c r="D15" s="21">
        <f t="shared" si="4"/>
        <v>14000</v>
      </c>
      <c r="E15" s="23">
        <f>SUM(EDT!F18:F23)</f>
        <v>0</v>
      </c>
      <c r="F15" s="24">
        <f t="shared" si="5"/>
        <v>0</v>
      </c>
      <c r="H15" s="17" t="s">
        <v>16</v>
      </c>
      <c r="I15" s="24">
        <f t="shared" si="6"/>
        <v>840000</v>
      </c>
    </row>
    <row r="16" ht="14.25" customHeight="1">
      <c r="A16" s="17" t="s">
        <v>32</v>
      </c>
      <c r="B16" s="17" t="s">
        <v>17</v>
      </c>
      <c r="C16" s="17" t="s">
        <v>27</v>
      </c>
      <c r="D16" s="21">
        <f t="shared" si="4"/>
        <v>13000</v>
      </c>
      <c r="E16" s="23">
        <f>SUM(EDT!G18:G23)</f>
        <v>0</v>
      </c>
      <c r="F16" s="24">
        <f t="shared" si="5"/>
        <v>0</v>
      </c>
      <c r="H16" s="17" t="s">
        <v>17</v>
      </c>
      <c r="I16" s="24">
        <f t="shared" si="6"/>
        <v>780000</v>
      </c>
    </row>
    <row r="17" ht="15.75" customHeight="1">
      <c r="A17" s="17"/>
      <c r="B17" s="26" t="s">
        <v>62</v>
      </c>
      <c r="C17" s="30"/>
      <c r="D17" s="30"/>
      <c r="E17" s="31"/>
      <c r="F17" s="24">
        <f>SUM(F12:F16)</f>
        <v>1160000</v>
      </c>
      <c r="H17" s="37" t="s">
        <v>64</v>
      </c>
      <c r="I17" s="38">
        <f>SUM(I12:I16)</f>
        <v>12180000</v>
      </c>
    </row>
    <row r="18" ht="14.25" customHeight="1"/>
    <row r="19" ht="14.25" customHeight="1"/>
    <row r="20" ht="28.5" customHeight="1">
      <c r="A20" s="1" t="s">
        <v>0</v>
      </c>
      <c r="B20" s="1" t="s">
        <v>6</v>
      </c>
      <c r="C20" s="1" t="s">
        <v>8</v>
      </c>
      <c r="D20" s="11" t="s">
        <v>48</v>
      </c>
      <c r="E20" s="1" t="s">
        <v>11</v>
      </c>
      <c r="F20" s="1" t="s">
        <v>71</v>
      </c>
      <c r="H20" s="14" t="s">
        <v>73</v>
      </c>
      <c r="I20" s="15"/>
    </row>
    <row r="21" ht="14.25" customHeight="1">
      <c r="A21" s="17" t="s">
        <v>18</v>
      </c>
      <c r="B21" s="17" t="s">
        <v>10</v>
      </c>
      <c r="C21" s="17" t="s">
        <v>19</v>
      </c>
      <c r="D21" s="21">
        <f t="shared" ref="D21:D25" si="7">J4</f>
        <v>15000</v>
      </c>
      <c r="E21" s="23">
        <f>SUM(EDT!C25:C67)</f>
        <v>36</v>
      </c>
      <c r="F21" s="24">
        <f t="shared" ref="F21:F25" si="8">D21*E21</f>
        <v>540000</v>
      </c>
      <c r="H21" s="17" t="s">
        <v>77</v>
      </c>
      <c r="I21" s="24">
        <f>F8</f>
        <v>2172000</v>
      </c>
    </row>
    <row r="22" ht="14.25" customHeight="1">
      <c r="A22" s="17" t="s">
        <v>23</v>
      </c>
      <c r="B22" s="17" t="s">
        <v>13</v>
      </c>
      <c r="C22" s="25" t="s">
        <v>24</v>
      </c>
      <c r="D22" s="21">
        <f t="shared" si="7"/>
        <v>14000</v>
      </c>
      <c r="E22" s="23">
        <f>SUM(EDT!D25:D67)</f>
        <v>176</v>
      </c>
      <c r="F22" s="24">
        <f t="shared" si="8"/>
        <v>2464000</v>
      </c>
      <c r="H22" s="17" t="s">
        <v>81</v>
      </c>
      <c r="I22" s="24">
        <f>F17</f>
        <v>1160000</v>
      </c>
    </row>
    <row r="23" ht="14.25" customHeight="1">
      <c r="A23" s="17" t="s">
        <v>26</v>
      </c>
      <c r="B23" s="17" t="s">
        <v>15</v>
      </c>
      <c r="C23" s="17" t="s">
        <v>27</v>
      </c>
      <c r="D23" s="21">
        <f t="shared" si="7"/>
        <v>13000</v>
      </c>
      <c r="E23" s="23">
        <f>SUM(EDT!E25:E67)</f>
        <v>252</v>
      </c>
      <c r="F23" s="24">
        <f t="shared" si="8"/>
        <v>3276000</v>
      </c>
      <c r="H23" s="17" t="s">
        <v>83</v>
      </c>
      <c r="I23" s="24">
        <f>F26</f>
        <v>6280000</v>
      </c>
    </row>
    <row r="24" ht="14.25" customHeight="1">
      <c r="A24" s="17" t="s">
        <v>30</v>
      </c>
      <c r="B24" s="17" t="s">
        <v>16</v>
      </c>
      <c r="C24" s="17" t="s">
        <v>24</v>
      </c>
      <c r="D24" s="21">
        <f t="shared" si="7"/>
        <v>14000</v>
      </c>
      <c r="E24" s="23">
        <f>SUM(EDT!F25:F67)</f>
        <v>0</v>
      </c>
      <c r="F24" s="24">
        <f t="shared" si="8"/>
        <v>0</v>
      </c>
      <c r="H24" s="17" t="s">
        <v>86</v>
      </c>
      <c r="I24" s="24">
        <f>F35</f>
        <v>1624000</v>
      </c>
    </row>
    <row r="25" ht="14.25" customHeight="1">
      <c r="A25" s="17" t="s">
        <v>32</v>
      </c>
      <c r="B25" s="17" t="s">
        <v>17</v>
      </c>
      <c r="C25" s="17" t="s">
        <v>27</v>
      </c>
      <c r="D25" s="21">
        <f t="shared" si="7"/>
        <v>13000</v>
      </c>
      <c r="E25" s="23">
        <f>SUM(EDT!G25:G67)</f>
        <v>0</v>
      </c>
      <c r="F25" s="24">
        <f t="shared" si="8"/>
        <v>0</v>
      </c>
      <c r="H25" s="17" t="s">
        <v>90</v>
      </c>
      <c r="I25" s="24">
        <f>F44</f>
        <v>944000</v>
      </c>
    </row>
    <row r="26" ht="15.75" customHeight="1">
      <c r="A26" s="17"/>
      <c r="B26" s="26" t="s">
        <v>92</v>
      </c>
      <c r="C26" s="30"/>
      <c r="D26" s="30"/>
      <c r="E26" s="31"/>
      <c r="F26" s="24">
        <f>SUM(F21:F25)</f>
        <v>6280000</v>
      </c>
      <c r="H26" s="37" t="s">
        <v>94</v>
      </c>
      <c r="I26" s="38">
        <f>SUM(I21:I25)</f>
        <v>12180000</v>
      </c>
    </row>
    <row r="27" ht="14.25" customHeight="1"/>
    <row r="28" ht="14.25" customHeight="1"/>
    <row r="29" ht="28.5" customHeight="1">
      <c r="A29" s="1" t="s">
        <v>0</v>
      </c>
      <c r="B29" s="1" t="s">
        <v>6</v>
      </c>
      <c r="C29" s="1" t="s">
        <v>8</v>
      </c>
      <c r="D29" s="11" t="s">
        <v>48</v>
      </c>
      <c r="E29" s="1" t="s">
        <v>11</v>
      </c>
      <c r="F29" s="1" t="s">
        <v>96</v>
      </c>
    </row>
    <row r="30" ht="14.25" customHeight="1">
      <c r="A30" s="17" t="s">
        <v>18</v>
      </c>
      <c r="B30" s="17" t="s">
        <v>10</v>
      </c>
      <c r="C30" s="17" t="s">
        <v>19</v>
      </c>
      <c r="D30" s="21">
        <f t="shared" ref="D30:D34" si="9">J4</f>
        <v>15000</v>
      </c>
      <c r="E30" s="23">
        <f>SUM(EDT!C69:C72)</f>
        <v>16</v>
      </c>
      <c r="F30" s="24">
        <f t="shared" ref="F30:F34" si="10">D30*E30</f>
        <v>240000</v>
      </c>
    </row>
    <row r="31" ht="14.25" customHeight="1">
      <c r="A31" s="17" t="s">
        <v>23</v>
      </c>
      <c r="B31" s="17" t="s">
        <v>13</v>
      </c>
      <c r="C31" s="25" t="s">
        <v>24</v>
      </c>
      <c r="D31" s="21">
        <f t="shared" si="9"/>
        <v>14000</v>
      </c>
      <c r="E31" s="23">
        <f>SUM(EDT!D69:D72)</f>
        <v>24</v>
      </c>
      <c r="F31" s="24">
        <f t="shared" si="10"/>
        <v>336000</v>
      </c>
    </row>
    <row r="32" ht="14.25" customHeight="1">
      <c r="A32" s="17" t="s">
        <v>26</v>
      </c>
      <c r="B32" s="17" t="s">
        <v>15</v>
      </c>
      <c r="C32" s="17" t="s">
        <v>27</v>
      </c>
      <c r="D32" s="21">
        <f t="shared" si="9"/>
        <v>13000</v>
      </c>
      <c r="E32" s="23">
        <f>SUM(EDT!E69:E72)</f>
        <v>16</v>
      </c>
      <c r="F32" s="24">
        <f t="shared" si="10"/>
        <v>208000</v>
      </c>
    </row>
    <row r="33" ht="14.25" customHeight="1">
      <c r="A33" s="17" t="s">
        <v>30</v>
      </c>
      <c r="B33" s="17" t="s">
        <v>16</v>
      </c>
      <c r="C33" s="17" t="s">
        <v>24</v>
      </c>
      <c r="D33" s="21">
        <f t="shared" si="9"/>
        <v>14000</v>
      </c>
      <c r="E33" s="23">
        <f>SUM(EDT!F69:F72)</f>
        <v>60</v>
      </c>
      <c r="F33" s="24">
        <f t="shared" si="10"/>
        <v>840000</v>
      </c>
    </row>
    <row r="34" ht="14.25" customHeight="1">
      <c r="A34" s="17" t="s">
        <v>32</v>
      </c>
      <c r="B34" s="17" t="s">
        <v>17</v>
      </c>
      <c r="C34" s="17" t="s">
        <v>27</v>
      </c>
      <c r="D34" s="21">
        <f t="shared" si="9"/>
        <v>13000</v>
      </c>
      <c r="E34" s="23">
        <f>SUM(EDT!G69:G72)</f>
        <v>0</v>
      </c>
      <c r="F34" s="24">
        <f t="shared" si="10"/>
        <v>0</v>
      </c>
    </row>
    <row r="35" ht="14.25" customHeight="1">
      <c r="A35" s="17"/>
      <c r="B35" s="26" t="s">
        <v>106</v>
      </c>
      <c r="C35" s="30"/>
      <c r="D35" s="30"/>
      <c r="E35" s="31"/>
      <c r="F35" s="24">
        <f>SUM(F30:F34)</f>
        <v>1624000</v>
      </c>
    </row>
    <row r="36" ht="14.25" customHeight="1"/>
    <row r="37" ht="14.25" customHeight="1"/>
    <row r="38" ht="28.5" customHeight="1">
      <c r="A38" s="1" t="s">
        <v>0</v>
      </c>
      <c r="B38" s="1" t="s">
        <v>6</v>
      </c>
      <c r="C38" s="1" t="s">
        <v>8</v>
      </c>
      <c r="D38" s="11" t="s">
        <v>48</v>
      </c>
      <c r="E38" s="1" t="s">
        <v>11</v>
      </c>
      <c r="F38" s="11" t="s">
        <v>107</v>
      </c>
    </row>
    <row r="39" ht="14.25" customHeight="1">
      <c r="A39" s="17" t="s">
        <v>18</v>
      </c>
      <c r="B39" s="17" t="s">
        <v>10</v>
      </c>
      <c r="C39" s="17" t="s">
        <v>19</v>
      </c>
      <c r="D39" s="21">
        <f t="shared" ref="D39:D43" si="11">J4</f>
        <v>15000</v>
      </c>
      <c r="E39" s="23">
        <f>SUM(EDT!C74:C77)</f>
        <v>28</v>
      </c>
      <c r="F39" s="24">
        <f t="shared" ref="F39:F43" si="12">D39*E39</f>
        <v>420000</v>
      </c>
    </row>
    <row r="40" ht="14.25" customHeight="1">
      <c r="A40" s="17" t="s">
        <v>23</v>
      </c>
      <c r="B40" s="17" t="s">
        <v>13</v>
      </c>
      <c r="C40" s="25" t="s">
        <v>24</v>
      </c>
      <c r="D40" s="21">
        <f t="shared" si="11"/>
        <v>14000</v>
      </c>
      <c r="E40" s="23">
        <f>SUM(EDT!D74:D77)</f>
        <v>4</v>
      </c>
      <c r="F40" s="24">
        <f t="shared" si="12"/>
        <v>56000</v>
      </c>
    </row>
    <row r="41" ht="14.25" customHeight="1">
      <c r="A41" s="17" t="s">
        <v>26</v>
      </c>
      <c r="B41" s="17" t="s">
        <v>15</v>
      </c>
      <c r="C41" s="17" t="s">
        <v>27</v>
      </c>
      <c r="D41" s="21">
        <f t="shared" si="11"/>
        <v>13000</v>
      </c>
      <c r="E41" s="23">
        <f>SUM(EDT!E74:E77)</f>
        <v>8</v>
      </c>
      <c r="F41" s="24">
        <f t="shared" si="12"/>
        <v>104000</v>
      </c>
    </row>
    <row r="42" ht="14.25" customHeight="1">
      <c r="A42" s="17" t="s">
        <v>30</v>
      </c>
      <c r="B42" s="17" t="s">
        <v>16</v>
      </c>
      <c r="C42" s="17" t="s">
        <v>24</v>
      </c>
      <c r="D42" s="21">
        <f t="shared" si="11"/>
        <v>14000</v>
      </c>
      <c r="E42" s="23">
        <f>SUM(EDT!F74:F77)</f>
        <v>0</v>
      </c>
      <c r="F42" s="24">
        <f t="shared" si="12"/>
        <v>0</v>
      </c>
    </row>
    <row r="43" ht="14.25" customHeight="1">
      <c r="A43" s="17" t="s">
        <v>32</v>
      </c>
      <c r="B43" s="17" t="s">
        <v>17</v>
      </c>
      <c r="C43" s="17" t="s">
        <v>27</v>
      </c>
      <c r="D43" s="21">
        <f t="shared" si="11"/>
        <v>13000</v>
      </c>
      <c r="E43" s="23">
        <f>SUM(EDT!G74:G77)</f>
        <v>28</v>
      </c>
      <c r="F43" s="24">
        <f t="shared" si="12"/>
        <v>364000</v>
      </c>
    </row>
    <row r="44" ht="14.25" customHeight="1">
      <c r="A44" s="17"/>
      <c r="B44" s="26" t="s">
        <v>114</v>
      </c>
      <c r="C44" s="30"/>
      <c r="D44" s="30"/>
      <c r="E44" s="31"/>
      <c r="F44" s="24">
        <f>SUM(F39:F43)</f>
        <v>944000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H2:K2"/>
    <mergeCell ref="B8:E8"/>
    <mergeCell ref="H11:I11"/>
    <mergeCell ref="B17:E17"/>
    <mergeCell ref="H20:I20"/>
    <mergeCell ref="B26:E26"/>
    <mergeCell ref="B35:E35"/>
    <mergeCell ref="B44:E4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